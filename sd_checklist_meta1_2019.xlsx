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3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iguel\Desktop\SD\SD_projeto\SD\"/>
    </mc:Choice>
  </mc:AlternateContent>
  <xr:revisionPtr revIDLastSave="0" documentId="13_ncr:1_{B0413A02-19C4-4430-8BF2-C68EF87B766C}" xr6:coauthVersionLast="41" xr6:coauthVersionMax="45" xr10:uidLastSave="{00000000-0000-0000-0000-000000000000}"/>
  <bookViews>
    <workbookView xWindow="-120" yWindow="-120" windowWidth="20730" windowHeight="11160" tabRatio="500" xr2:uid="{00000000-000D-0000-FFFF-FFFF00000000}"/>
  </bookViews>
  <sheets>
    <sheet name="2019-2020" sheetId="2" r:id="rId1"/>
  </sheets>
  <definedNames>
    <definedName name="_xlnm.Print_Area" localSheetId="0">'2019-2020'!$A$1:$C$62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51" i="2" l="1"/>
  <c r="C45" i="2"/>
  <c r="C5" i="2"/>
  <c r="C29" i="2"/>
  <c r="C39" i="2"/>
  <c r="C57" i="2"/>
  <c r="A45" i="2"/>
  <c r="A5" i="2"/>
  <c r="A29" i="2"/>
  <c r="A39" i="2"/>
  <c r="C4" i="2" l="1"/>
  <c r="A4" i="2"/>
</calcChain>
</file>

<file path=xl/sharedStrings.xml><?xml version="1.0" encoding="utf-8"?>
<sst xmlns="http://schemas.openxmlformats.org/spreadsheetml/2006/main" count="155" uniqueCount="89">
  <si>
    <t>Requisitos Funcionais</t>
  </si>
  <si>
    <t>Pontualidade (-10)</t>
  </si>
  <si>
    <t>Nome:</t>
  </si>
  <si>
    <t>Número de Aluno:</t>
  </si>
  <si>
    <t>Nota Final:</t>
  </si>
  <si>
    <t>Relatório</t>
  </si>
  <si>
    <t>Arquitetura de software detalhadamente descrita</t>
  </si>
  <si>
    <t>Distribuição de tarefas pelos elementos do grupo</t>
  </si>
  <si>
    <t>Extra (até 5 pontos)</t>
  </si>
  <si>
    <t>Pontos Obrigatórios</t>
  </si>
  <si>
    <t>Outros (a propor pelos alunos)</t>
  </si>
  <si>
    <t>A aplicação não apresenta erros/exceções/avarias (-5)</t>
  </si>
  <si>
    <t>Código legível e bem comentado (-5)</t>
  </si>
  <si>
    <t>O projeto corre distribuído por várias máquinas (-5)</t>
  </si>
  <si>
    <t>Failover</t>
  </si>
  <si>
    <t>Aluno de SD</t>
  </si>
  <si>
    <t>Tratamento de Exceções</t>
  </si>
  <si>
    <t>Testes de software (tabela com descrição + pass/fail de cada teste)</t>
  </si>
  <si>
    <t>Configuração não requer recompilação (-5)</t>
  </si>
  <si>
    <t>STONITH nos servidores RMI (3p)</t>
  </si>
  <si>
    <t>Trazem duas máquinas (e.g., dois portáteis)</t>
  </si>
  <si>
    <t>Os estudantes chegam 15 minutos antes para prepararem tudo</t>
  </si>
  <si>
    <t>No dia da defesa</t>
  </si>
  <si>
    <t>Detalhes do funcionamento do servidor UDP (protocolo multicast, etc.)</t>
  </si>
  <si>
    <t>Entrega posterior de notificações (offline users)</t>
  </si>
  <si>
    <t>Registar novo utilizador</t>
  </si>
  <si>
    <t>Detalhes do funcionamento do servidor RMI (interface, javadocs, etc.)</t>
  </si>
  <si>
    <t>Portátil #1 corre 1 servidor multicast e 1 cliente RMI</t>
  </si>
  <si>
    <t>Portátil #2 corre 1 servidor multicast, 2 servidores RMI e 1 cliente RMI</t>
  </si>
  <si>
    <t>Sistemas Distribuídos 2019/20 - Meta 1</t>
  </si>
  <si>
    <t>Dar privilégios de administrador a um utilizador</t>
  </si>
  <si>
    <t>Pesquisar páginas que contenham um conjunto de palavras</t>
  </si>
  <si>
    <t>Notificação imediata de privilégios de administrador (online users)</t>
  </si>
  <si>
    <t>Resultados ordenados por número de ligações para cada página</t>
  </si>
  <si>
    <t>Consultar lista de páginas com ligações para uma página específica</t>
  </si>
  <si>
    <t>Indexar novo URL introduzido por administrador</t>
  </si>
  <si>
    <t>Página de administração atualizada em tempo real</t>
  </si>
  <si>
    <t>Acesso protegido com password (exceto pesquisas)</t>
  </si>
  <si>
    <t>Consultar lista de pesquisas feitas pelo próprio utilizador</t>
  </si>
  <si>
    <t>Avaria de um servidor RMI não tem efeito visível nos clientes</t>
  </si>
  <si>
    <t>Balanceamento da carga dos servidores multicast (3p)</t>
  </si>
  <si>
    <t>Servidores multicast replicam o índice repartido em grupos (5p)</t>
  </si>
  <si>
    <t>Servidor RMI secundário testa e substitui o primário em caso de avaria longa</t>
  </si>
  <si>
    <t>Pedidos de indexação são respondidos apenas por um servidor multicast</t>
  </si>
  <si>
    <t>O servidor RMI original, quando recupera, torna-se secundário</t>
  </si>
  <si>
    <t>Há dados de teste (três utilizadores e o índice contém dezenas de páginas)</t>
  </si>
  <si>
    <t>Indexar iterativamente ou recursivamente todos os URLs encontrados</t>
  </si>
  <si>
    <t>Pesquisas avançadas e algoritmos de ranking de páginas (4p)</t>
  </si>
  <si>
    <t>Avarias temporárias (&lt;30s) dos servidores multicast são invisíveis para clientes</t>
  </si>
  <si>
    <t>Pedidos são garantidamente processados por N&gt;=1 servidores multicast</t>
  </si>
  <si>
    <t>O serviço funciona se houver pelo menos um servidor multicast disponível</t>
  </si>
  <si>
    <t>Cada servidor multicast replica a sua parte do índice por outros servidores (TCP)</t>
  </si>
  <si>
    <t>Cada servidor distribui URLs para serem indexados por outros servidores</t>
  </si>
  <si>
    <t>Os servidores multicast recuperam de disco o seu estado se avariarem</t>
  </si>
  <si>
    <t>Em caso de avaria longa os clientes RMI ligam ao secundário (sessão mantida)</t>
  </si>
  <si>
    <t>Falta RMI</t>
  </si>
  <si>
    <t>Falta Testar</t>
  </si>
  <si>
    <t>Não tenho a certeza</t>
  </si>
  <si>
    <t>Falta testar</t>
  </si>
  <si>
    <t>mais ou menos</t>
  </si>
  <si>
    <t>Testar</t>
  </si>
  <si>
    <t>Falta testar c 2</t>
  </si>
  <si>
    <t>Registar admin</t>
  </si>
  <si>
    <t>Registar user normal</t>
  </si>
  <si>
    <t>Negar registo a user existente</t>
  </si>
  <si>
    <t>Pass/Fail</t>
  </si>
  <si>
    <t>É posivel fazer pesquisas sem registo</t>
  </si>
  <si>
    <t>Apenas admin tem acesso as funcionalidades de admin</t>
  </si>
  <si>
    <t>Apenas users registados têm histórico</t>
  </si>
  <si>
    <t>Apenas users registados podem pesquisar por url</t>
  </si>
  <si>
    <t>Apenas mostra as páginas com ambas as palavras</t>
  </si>
  <si>
    <t>Apenas retorna as pesquisas de um utilizador</t>
  </si>
  <si>
    <t>Ordena as páginas por número de vezes referenciadas</t>
  </si>
  <si>
    <t>Apenas dá previlégios a utilizadores que não são admin</t>
  </si>
  <si>
    <t>Utilizadores recebem notificações pendentes quando se ligam</t>
  </si>
  <si>
    <t>Apenas dá previlégios a utilizadores registados</t>
  </si>
  <si>
    <t>O cliente pode continuar a usar a aplicação com o backup</t>
  </si>
  <si>
    <t>O sistema liga-se ao backup</t>
  </si>
  <si>
    <t>Receber resposta após falha inferior a 30s</t>
  </si>
  <si>
    <t>Desde que haja um multicast a funcionar os pedidos são processados</t>
  </si>
  <si>
    <t>Servidores online ignoram pedidos de indexação que não têm o seu id</t>
  </si>
  <si>
    <t>Apenas um servidor envia resposta</t>
  </si>
  <si>
    <t>O servidor recebe pedidos com apenas um multicast</t>
  </si>
  <si>
    <t>O servidor envia respostas com apenas um multicast</t>
  </si>
  <si>
    <t>O servidor atualiza os dados permantetes</t>
  </si>
  <si>
    <t>Se um multicast for abaixo quando recomeça vai ler a informação guardada</t>
  </si>
  <si>
    <t>Cada servidor envia a lista de diferenças desde a ultima partilha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</si>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</sst>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4"/>
      <color theme="1"/>
      <name val="Calibri"/>
      <scheme val="minor"/>
    </font>
    <font>
      <sz val="8"/>
      <name val="Calibri"/>
      <family val="2"/>
      <scheme val="minor"/>
    </font>
    <font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FF00"/>
      <name val="Calibri"/>
      <family val="2"/>
      <scheme val="minor"/>
    </font>
    <font>
      <sz val="14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5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0" fontId="3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5" fillId="0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Fill="1" applyBorder="1" applyAlignment="1">
      <alignment horizontal="left"/>
    </xf>
    <xf numFmtId="0" fontId="5" fillId="0" borderId="0" xfId="0" applyFont="1" applyAlignment="1"/>
    <xf numFmtId="0" fontId="3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8" fillId="4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5" fillId="0" borderId="5" xfId="0" applyFont="1" applyFill="1" applyBorder="1" applyAlignment="1">
      <alignment horizontal="left"/>
    </xf>
    <xf numFmtId="0" fontId="3" fillId="3" borderId="6" xfId="0" applyFont="1" applyFill="1" applyBorder="1" applyAlignment="1">
      <alignment horizontal="center"/>
    </xf>
    <xf numFmtId="0" fontId="6" fillId="0" borderId="5" xfId="0" applyFont="1" applyBorder="1" applyAlignment="1">
      <alignment horizontal="left"/>
    </xf>
    <xf numFmtId="0" fontId="3" fillId="5" borderId="6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left"/>
    </xf>
    <xf numFmtId="0" fontId="3" fillId="2" borderId="6" xfId="0" applyFont="1" applyFill="1" applyBorder="1" applyAlignment="1">
      <alignment horizontal="center"/>
    </xf>
    <xf numFmtId="0" fontId="5" fillId="0" borderId="5" xfId="0" applyFont="1" applyBorder="1" applyAlignment="1">
      <alignment horizontal="left"/>
    </xf>
    <xf numFmtId="0" fontId="5" fillId="0" borderId="5" xfId="0" applyFont="1" applyBorder="1" applyAlignment="1"/>
    <xf numFmtId="0" fontId="5" fillId="0" borderId="7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0" fontId="3" fillId="3" borderId="9" xfId="0" applyFont="1" applyFill="1" applyBorder="1" applyAlignment="1">
      <alignment horizontal="center"/>
    </xf>
  </cellXfs>
  <cellStyles count="155">
    <cellStyle name="Hiperligação" xfId="1" builtinId="8" hidden="1"/>
    <cellStyle name="Hiperligação" xfId="3" builtinId="8" hidden="1"/>
    <cellStyle name="Hiperligação" xfId="5" builtinId="8" hidden="1"/>
    <cellStyle name="Hiperligação" xfId="7" builtinId="8" hidden="1"/>
    <cellStyle name="Hiperligação" xfId="9" builtinId="8" hidden="1"/>
    <cellStyle name="Hiperligação" xfId="11" builtinId="8" hidden="1"/>
    <cellStyle name="Hiperligação" xfId="13" builtinId="8" hidden="1"/>
    <cellStyle name="Hiperligação" xfId="15" builtinId="8" hidden="1"/>
    <cellStyle name="Hiperligação" xfId="17" builtinId="8" hidden="1"/>
    <cellStyle name="Hiperligação" xfId="19" builtinId="8" hidden="1"/>
    <cellStyle name="Hiperligação" xfId="21" builtinId="8" hidden="1"/>
    <cellStyle name="Hiperligação" xfId="23" builtinId="8" hidden="1"/>
    <cellStyle name="Hiperligação" xfId="25" builtinId="8" hidden="1"/>
    <cellStyle name="Hiperligação" xfId="27" builtinId="8" hidden="1"/>
    <cellStyle name="Hiperligação" xfId="29" builtinId="8" hidden="1"/>
    <cellStyle name="Hiperligação" xfId="31" builtinId="8" hidden="1"/>
    <cellStyle name="Hiperligação" xfId="33" builtinId="8" hidden="1"/>
    <cellStyle name="Hiperligação" xfId="35" builtinId="8" hidden="1"/>
    <cellStyle name="Hiperligação" xfId="37" builtinId="8" hidden="1"/>
    <cellStyle name="Hiperligação" xfId="39" builtinId="8" hidden="1"/>
    <cellStyle name="Hiperligação" xfId="41" builtinId="8" hidden="1"/>
    <cellStyle name="Hiperligação" xfId="43" builtinId="8" hidden="1"/>
    <cellStyle name="Hiperligação" xfId="45" builtinId="8" hidden="1"/>
    <cellStyle name="Hiperligação" xfId="47" builtinId="8" hidden="1"/>
    <cellStyle name="Hiperligação" xfId="49" builtinId="8" hidden="1"/>
    <cellStyle name="Hiperligação" xfId="51" builtinId="8" hidden="1"/>
    <cellStyle name="Hiperligação" xfId="53" builtinId="8" hidden="1"/>
    <cellStyle name="Hiperligação" xfId="55" builtinId="8" hidden="1"/>
    <cellStyle name="Hiperligação" xfId="57" builtinId="8" hidden="1"/>
    <cellStyle name="Hiperligação" xfId="59" builtinId="8" hidden="1"/>
    <cellStyle name="Hiperligação" xfId="61" builtinId="8" hidden="1"/>
    <cellStyle name="Hiperligação" xfId="63" builtinId="8" hidden="1"/>
    <cellStyle name="Hiperligação" xfId="65" builtinId="8" hidden="1"/>
    <cellStyle name="Hiperligação" xfId="67" builtinId="8" hidden="1"/>
    <cellStyle name="Hiperligação" xfId="69" builtinId="8" hidden="1"/>
    <cellStyle name="Hiperligação" xfId="71" builtinId="8" hidden="1"/>
    <cellStyle name="Hiperligação" xfId="73" builtinId="8" hidden="1"/>
    <cellStyle name="Hiperligação" xfId="75" builtinId="8" hidden="1"/>
    <cellStyle name="Hiperligação" xfId="77" builtinId="8" hidden="1"/>
    <cellStyle name="Hiperligação" xfId="79" builtinId="8" hidden="1"/>
    <cellStyle name="Hiperligação" xfId="81" builtinId="8" hidden="1"/>
    <cellStyle name="Hiperligação" xfId="83" builtinId="8" hidden="1"/>
    <cellStyle name="Hiperligação" xfId="85" builtinId="8" hidden="1"/>
    <cellStyle name="Hiperligação" xfId="87" builtinId="8" hidden="1"/>
    <cellStyle name="Hiperligação" xfId="89" builtinId="8" hidden="1"/>
    <cellStyle name="Hiperligação" xfId="91" builtinId="8" hidden="1"/>
    <cellStyle name="Hiperligação" xfId="93" builtinId="8" hidden="1"/>
    <cellStyle name="Hiperligação" xfId="95" builtinId="8" hidden="1"/>
    <cellStyle name="Hiperligação" xfId="97" builtinId="8" hidden="1"/>
    <cellStyle name="Hiperligação" xfId="99" builtinId="8" hidden="1"/>
    <cellStyle name="Hiperligação" xfId="101" builtinId="8" hidden="1"/>
    <cellStyle name="Hiperligação" xfId="103" builtinId="8" hidden="1"/>
    <cellStyle name="Hiperligação" xfId="105" builtinId="8" hidden="1"/>
    <cellStyle name="Hiperligação" xfId="107" builtinId="8" hidden="1"/>
    <cellStyle name="Hiperligação" xfId="109" builtinId="8" hidden="1"/>
    <cellStyle name="Hiperligação" xfId="111" builtinId="8" hidden="1"/>
    <cellStyle name="Hiperligação" xfId="113" builtinId="8" hidden="1"/>
    <cellStyle name="Hiperligação" xfId="115" builtinId="8" hidden="1"/>
    <cellStyle name="Hiperligação" xfId="117" builtinId="8" hidden="1"/>
    <cellStyle name="Hiperligação" xfId="119" builtinId="8" hidden="1"/>
    <cellStyle name="Hiperligação" xfId="121" builtinId="8" hidden="1"/>
    <cellStyle name="Hiperligação" xfId="123" builtinId="8" hidden="1"/>
    <cellStyle name="Hiperligação" xfId="125" builtinId="8" hidden="1"/>
    <cellStyle name="Hiperligação" xfId="127" builtinId="8" hidden="1"/>
    <cellStyle name="Hiperligação" xfId="129" builtinId="8" hidden="1"/>
    <cellStyle name="Hiperligação" xfId="131" builtinId="8" hidden="1"/>
    <cellStyle name="Hiperligação" xfId="133" builtinId="8" hidden="1"/>
    <cellStyle name="Hiperligação" xfId="135" builtinId="8" hidden="1"/>
    <cellStyle name="Hiperligação" xfId="137" builtinId="8" hidden="1"/>
    <cellStyle name="Hiperligação" xfId="139" builtinId="8" hidden="1"/>
    <cellStyle name="Hiperligação" xfId="141" builtinId="8" hidden="1"/>
    <cellStyle name="Hiperligação" xfId="143" builtinId="8" hidden="1"/>
    <cellStyle name="Hiperligação" xfId="145" builtinId="8" hidden="1"/>
    <cellStyle name="Hiperligação" xfId="147" builtinId="8" hidden="1"/>
    <cellStyle name="Hiperligação" xfId="149" builtinId="8" hidden="1"/>
    <cellStyle name="Hiperligação" xfId="151" builtinId="8" hidden="1"/>
    <cellStyle name="Hiperligação" xfId="153" builtinId="8" hidden="1"/>
    <cellStyle name="Hiperligação Visitada" xfId="2" builtinId="9" hidden="1"/>
    <cellStyle name="Hiperligação Visitada" xfId="4" builtinId="9" hidden="1"/>
    <cellStyle name="Hiperligação Visitada" xfId="6" builtinId="9" hidden="1"/>
    <cellStyle name="Hiperligação Visitada" xfId="8" builtinId="9" hidden="1"/>
    <cellStyle name="Hiperligação Visitada" xfId="10" builtinId="9" hidden="1"/>
    <cellStyle name="Hiperligação Visitada" xfId="12" builtinId="9" hidden="1"/>
    <cellStyle name="Hiperligação Visitada" xfId="14" builtinId="9" hidden="1"/>
    <cellStyle name="Hiperligação Visitada" xfId="16" builtinId="9" hidden="1"/>
    <cellStyle name="Hiperligação Visitada" xfId="18" builtinId="9" hidden="1"/>
    <cellStyle name="Hiperligação Visitada" xfId="20" builtinId="9" hidden="1"/>
    <cellStyle name="Hiperligação Visitada" xfId="22" builtinId="9" hidden="1"/>
    <cellStyle name="Hiperligação Visitada" xfId="24" builtinId="9" hidden="1"/>
    <cellStyle name="Hiperligação Visitada" xfId="26" builtinId="9" hidden="1"/>
    <cellStyle name="Hiperligação Visitada" xfId="28" builtinId="9" hidden="1"/>
    <cellStyle name="Hiperligação Visitada" xfId="30" builtinId="9" hidden="1"/>
    <cellStyle name="Hiperligação Visitada" xfId="32" builtinId="9" hidden="1"/>
    <cellStyle name="Hiperligação Visitada" xfId="34" builtinId="9" hidden="1"/>
    <cellStyle name="Hiperligação Visitada" xfId="36" builtinId="9" hidden="1"/>
    <cellStyle name="Hiperligação Visitada" xfId="38" builtinId="9" hidden="1"/>
    <cellStyle name="Hiperligação Visitada" xfId="40" builtinId="9" hidden="1"/>
    <cellStyle name="Hiperligação Visitada" xfId="42" builtinId="9" hidden="1"/>
    <cellStyle name="Hiperligação Visitada" xfId="44" builtinId="9" hidden="1"/>
    <cellStyle name="Hiperligação Visitada" xfId="46" builtinId="9" hidden="1"/>
    <cellStyle name="Hiperligação Visitada" xfId="48" builtinId="9" hidden="1"/>
    <cellStyle name="Hiperligação Visitada" xfId="50" builtinId="9" hidden="1"/>
    <cellStyle name="Hiperligação Visitada" xfId="52" builtinId="9" hidden="1"/>
    <cellStyle name="Hiperligação Visitada" xfId="54" builtinId="9" hidden="1"/>
    <cellStyle name="Hiperligação Visitada" xfId="56" builtinId="9" hidden="1"/>
    <cellStyle name="Hiperligação Visitada" xfId="58" builtinId="9" hidden="1"/>
    <cellStyle name="Hiperligação Visitada" xfId="60" builtinId="9" hidden="1"/>
    <cellStyle name="Hiperligação Visitada" xfId="62" builtinId="9" hidden="1"/>
    <cellStyle name="Hiperligação Visitada" xfId="64" builtinId="9" hidden="1"/>
    <cellStyle name="Hiperligação Visitada" xfId="66" builtinId="9" hidden="1"/>
    <cellStyle name="Hiperligação Visitada" xfId="68" builtinId="9" hidden="1"/>
    <cellStyle name="Hiperligação Visitada" xfId="70" builtinId="9" hidden="1"/>
    <cellStyle name="Hiperligação Visitada" xfId="72" builtinId="9" hidden="1"/>
    <cellStyle name="Hiperligação Visitada" xfId="74" builtinId="9" hidden="1"/>
    <cellStyle name="Hiperligação Visitada" xfId="76" builtinId="9" hidden="1"/>
    <cellStyle name="Hiperligação Visitada" xfId="78" builtinId="9" hidden="1"/>
    <cellStyle name="Hiperligação Visitada" xfId="80" builtinId="9" hidden="1"/>
    <cellStyle name="Hiperligação Visitada" xfId="82" builtinId="9" hidden="1"/>
    <cellStyle name="Hiperligação Visitada" xfId="84" builtinId="9" hidden="1"/>
    <cellStyle name="Hiperligação Visitada" xfId="86" builtinId="9" hidden="1"/>
    <cellStyle name="Hiperligação Visitada" xfId="88" builtinId="9" hidden="1"/>
    <cellStyle name="Hiperligação Visitada" xfId="90" builtinId="9" hidden="1"/>
    <cellStyle name="Hiperligação Visitada" xfId="92" builtinId="9" hidden="1"/>
    <cellStyle name="Hiperligação Visitada" xfId="94" builtinId="9" hidden="1"/>
    <cellStyle name="Hiperligação Visitada" xfId="96" builtinId="9" hidden="1"/>
    <cellStyle name="Hiperligação Visitada" xfId="98" builtinId="9" hidden="1"/>
    <cellStyle name="Hiperligação Visitada" xfId="100" builtinId="9" hidden="1"/>
    <cellStyle name="Hiperligação Visitada" xfId="102" builtinId="9" hidden="1"/>
    <cellStyle name="Hiperligação Visitada" xfId="104" builtinId="9" hidden="1"/>
    <cellStyle name="Hiperligação Visitada" xfId="106" builtinId="9" hidden="1"/>
    <cellStyle name="Hiperligação Visitada" xfId="108" builtinId="9" hidden="1"/>
    <cellStyle name="Hiperligação Visitada" xfId="110" builtinId="9" hidden="1"/>
    <cellStyle name="Hiperligação Visitada" xfId="112" builtinId="9" hidden="1"/>
    <cellStyle name="Hiperligação Visitada" xfId="114" builtinId="9" hidden="1"/>
    <cellStyle name="Hiperligação Visitada" xfId="116" builtinId="9" hidden="1"/>
    <cellStyle name="Hiperligação Visitada" xfId="118" builtinId="9" hidden="1"/>
    <cellStyle name="Hiperligação Visitada" xfId="120" builtinId="9" hidden="1"/>
    <cellStyle name="Hiperligação Visitada" xfId="122" builtinId="9" hidden="1"/>
    <cellStyle name="Hiperligação Visitada" xfId="124" builtinId="9" hidden="1"/>
    <cellStyle name="Hiperligação Visitada" xfId="126" builtinId="9" hidden="1"/>
    <cellStyle name="Hiperligação Visitada" xfId="128" builtinId="9" hidden="1"/>
    <cellStyle name="Hiperligação Visitada" xfId="130" builtinId="9" hidden="1"/>
    <cellStyle name="Hiperligação Visitada" xfId="132" builtinId="9" hidden="1"/>
    <cellStyle name="Hiperligação Visitada" xfId="134" builtinId="9" hidden="1"/>
    <cellStyle name="Hiperligação Visitada" xfId="136" builtinId="9" hidden="1"/>
    <cellStyle name="Hiperligação Visitada" xfId="138" builtinId="9" hidden="1"/>
    <cellStyle name="Hiperligação Visitada" xfId="140" builtinId="9" hidden="1"/>
    <cellStyle name="Hiperligação Visitada" xfId="142" builtinId="9" hidden="1"/>
    <cellStyle name="Hiperligação Visitada" xfId="144" builtinId="9" hidden="1"/>
    <cellStyle name="Hiperligação Visitada" xfId="146" builtinId="9" hidden="1"/>
    <cellStyle name="Hiperligação Visitada" xfId="148" builtinId="9" hidden="1"/>
    <cellStyle name="Hiperligação Visitada" xfId="150" builtinId="9" hidden="1"/>
    <cellStyle name="Hiperligação Visitada" xfId="152" builtinId="9" hidden="1"/>
    <cellStyle name="Hiperligação Visitada" xfId="154" builtinId="9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8"/>
  <sheetViews>
    <sheetView tabSelected="1" zoomScale="55" zoomScaleNormal="55" workbookViewId="0">
      <pane xSplit="2" ySplit="4" topLeftCell="F17" activePane="bottomRight" state="frozen"/>
      <selection pane="topRight" activeCell="C1" sqref="C1"/>
      <selection pane="bottomLeft" activeCell="A6" sqref="A6"/>
      <selection pane="bottomRight" activeCell="F5" sqref="F5:H43"/>
    </sheetView>
  </sheetViews>
  <sheetFormatPr defaultColWidth="27.125" defaultRowHeight="18.75" x14ac:dyDescent="0.3"/>
  <cols>
    <col min="1" max="1" width="13.5" style="5" customWidth="1"/>
    <col min="2" max="2" width="86.75" style="2" customWidth="1"/>
    <col min="3" max="5" width="27.125" style="5"/>
    <col min="6" max="6" width="84.125" style="5" customWidth="1"/>
    <col min="7" max="7" width="95.25" style="5" customWidth="1"/>
    <col min="8" max="16384" width="27.125" style="5"/>
  </cols>
  <sheetData>
    <row r="1" spans="1:8" s="3" customFormat="1" x14ac:dyDescent="0.3">
      <c r="B1" s="3" t="s">
        <v>29</v>
      </c>
    </row>
    <row r="2" spans="1:8" s="4" customFormat="1" ht="15.75" x14ac:dyDescent="0.25">
      <c r="B2" s="6" t="s">
        <v>2</v>
      </c>
      <c r="C2" s="4" t="s">
        <v>15</v>
      </c>
    </row>
    <row r="3" spans="1:8" s="4" customFormat="1" ht="15.75" x14ac:dyDescent="0.25">
      <c r="B3" s="6" t="s">
        <v>3</v>
      </c>
      <c r="C3" s="4">
        <v>2019987654</v>
      </c>
    </row>
    <row r="4" spans="1:8" s="4" customFormat="1" ht="16.5" thickBot="1" x14ac:dyDescent="0.3">
      <c r="A4" s="4">
        <f>A5+A29+A39+A45</f>
        <v>100</v>
      </c>
      <c r="B4" s="6" t="s">
        <v>4</v>
      </c>
      <c r="C4" s="4">
        <f>C5+C29+C39+C45+C51+C57</f>
        <v>100</v>
      </c>
    </row>
    <row r="5" spans="1:8" s="3" customFormat="1" x14ac:dyDescent="0.3">
      <c r="A5" s="3">
        <f>SUM(A6:A25)</f>
        <v>46</v>
      </c>
      <c r="B5" s="1" t="s">
        <v>0</v>
      </c>
      <c r="C5" s="3">
        <f>SUM(C6:C25)</f>
        <v>46</v>
      </c>
      <c r="F5" s="24" t="s">
        <v>0</v>
      </c>
      <c r="G5" s="25"/>
      <c r="H5" s="26" t="s">
        <v>65</v>
      </c>
    </row>
    <row r="6" spans="1:8" x14ac:dyDescent="0.3">
      <c r="A6" s="5">
        <v>2</v>
      </c>
      <c r="B6" s="8" t="s">
        <v>25</v>
      </c>
      <c r="C6" s="5">
        <v>2</v>
      </c>
      <c r="D6" s="12"/>
      <c r="F6" s="27" t="s">
        <v>25</v>
      </c>
      <c r="G6" s="23" t="s">
        <v>62</v>
      </c>
      <c r="H6" s="28" t="s">
        <v>87</v>
      </c>
    </row>
    <row r="7" spans="1:8" x14ac:dyDescent="0.3">
      <c r="B7" s="8"/>
      <c r="D7" s="12"/>
      <c r="F7" s="27"/>
      <c r="G7" s="23" t="s">
        <v>63</v>
      </c>
      <c r="H7" s="28" t="s">
        <v>87</v>
      </c>
    </row>
    <row r="8" spans="1:8" x14ac:dyDescent="0.3">
      <c r="B8" s="8"/>
      <c r="D8" s="12"/>
      <c r="F8" s="27"/>
      <c r="G8" s="23" t="s">
        <v>64</v>
      </c>
      <c r="H8" s="28" t="s">
        <v>87</v>
      </c>
    </row>
    <row r="9" spans="1:8" x14ac:dyDescent="0.3">
      <c r="B9" s="8"/>
      <c r="D9" s="12"/>
      <c r="F9" s="27" t="s">
        <v>37</v>
      </c>
      <c r="G9" s="23" t="s">
        <v>66</v>
      </c>
      <c r="H9" s="28" t="s">
        <v>87</v>
      </c>
    </row>
    <row r="10" spans="1:8" x14ac:dyDescent="0.3">
      <c r="B10" s="8"/>
      <c r="D10" s="12"/>
      <c r="F10" s="27"/>
      <c r="G10" s="23" t="s">
        <v>67</v>
      </c>
      <c r="H10" s="28" t="s">
        <v>87</v>
      </c>
    </row>
    <row r="11" spans="1:8" x14ac:dyDescent="0.3">
      <c r="B11" s="8"/>
      <c r="D11" s="12"/>
      <c r="F11" s="27"/>
      <c r="G11" s="23" t="s">
        <v>68</v>
      </c>
      <c r="H11" s="28" t="s">
        <v>87</v>
      </c>
    </row>
    <row r="12" spans="1:8" x14ac:dyDescent="0.3">
      <c r="B12" s="8"/>
      <c r="D12" s="12"/>
      <c r="F12" s="27"/>
      <c r="G12" s="23" t="s">
        <v>69</v>
      </c>
      <c r="H12" s="28" t="s">
        <v>87</v>
      </c>
    </row>
    <row r="13" spans="1:8" x14ac:dyDescent="0.3">
      <c r="B13" s="8"/>
      <c r="D13" s="12"/>
      <c r="F13" s="27" t="s">
        <v>35</v>
      </c>
      <c r="G13" s="23"/>
      <c r="H13" s="28" t="s">
        <v>87</v>
      </c>
    </row>
    <row r="14" spans="1:8" x14ac:dyDescent="0.3">
      <c r="A14" s="5">
        <v>4</v>
      </c>
      <c r="B14" s="8" t="s">
        <v>37</v>
      </c>
      <c r="C14" s="5">
        <v>4</v>
      </c>
      <c r="D14" s="12"/>
      <c r="F14" s="27" t="s">
        <v>46</v>
      </c>
      <c r="G14" s="23"/>
      <c r="H14" s="28" t="s">
        <v>87</v>
      </c>
    </row>
    <row r="15" spans="1:8" x14ac:dyDescent="0.3">
      <c r="A15" s="5">
        <v>4</v>
      </c>
      <c r="B15" s="8" t="s">
        <v>35</v>
      </c>
      <c r="C15" s="5">
        <v>4</v>
      </c>
      <c r="D15" s="12"/>
      <c r="F15" s="27" t="s">
        <v>31</v>
      </c>
      <c r="G15" s="23" t="s">
        <v>70</v>
      </c>
      <c r="H15" s="28" t="s">
        <v>87</v>
      </c>
    </row>
    <row r="16" spans="1:8" x14ac:dyDescent="0.3">
      <c r="A16" s="5">
        <v>4</v>
      </c>
      <c r="B16" s="8" t="s">
        <v>46</v>
      </c>
      <c r="C16" s="5">
        <v>4</v>
      </c>
      <c r="D16" s="12"/>
      <c r="F16" s="27" t="s">
        <v>33</v>
      </c>
      <c r="G16" s="23" t="s">
        <v>72</v>
      </c>
      <c r="H16" s="28" t="s">
        <v>87</v>
      </c>
    </row>
    <row r="17" spans="1:8" x14ac:dyDescent="0.3">
      <c r="A17" s="5">
        <v>4</v>
      </c>
      <c r="B17" s="8" t="s">
        <v>31</v>
      </c>
      <c r="C17" s="5">
        <v>4</v>
      </c>
      <c r="D17" s="14"/>
      <c r="E17" s="18" t="s">
        <v>58</v>
      </c>
      <c r="F17" s="29" t="s">
        <v>34</v>
      </c>
      <c r="G17" s="23"/>
      <c r="H17" s="28" t="s">
        <v>87</v>
      </c>
    </row>
    <row r="18" spans="1:8" x14ac:dyDescent="0.3">
      <c r="A18" s="5">
        <v>4</v>
      </c>
      <c r="B18" s="10" t="s">
        <v>33</v>
      </c>
      <c r="C18" s="5">
        <v>4</v>
      </c>
      <c r="D18" s="12"/>
      <c r="F18" s="27" t="s">
        <v>38</v>
      </c>
      <c r="G18" s="23" t="s">
        <v>71</v>
      </c>
      <c r="H18" s="28" t="s">
        <v>87</v>
      </c>
    </row>
    <row r="19" spans="1:8" x14ac:dyDescent="0.3">
      <c r="A19" s="5">
        <v>4</v>
      </c>
      <c r="B19" s="9" t="s">
        <v>34</v>
      </c>
      <c r="C19" s="5">
        <v>4</v>
      </c>
      <c r="D19" s="12"/>
      <c r="E19" s="18" t="s">
        <v>58</v>
      </c>
      <c r="F19" s="27" t="s">
        <v>30</v>
      </c>
      <c r="G19" s="23" t="s">
        <v>75</v>
      </c>
      <c r="H19" s="28" t="s">
        <v>87</v>
      </c>
    </row>
    <row r="20" spans="1:8" x14ac:dyDescent="0.3">
      <c r="B20" s="9"/>
      <c r="D20" s="12"/>
      <c r="E20" s="18"/>
      <c r="F20" s="27"/>
      <c r="G20" s="23" t="s">
        <v>73</v>
      </c>
      <c r="H20" s="28" t="s">
        <v>87</v>
      </c>
    </row>
    <row r="21" spans="1:8" x14ac:dyDescent="0.3">
      <c r="A21" s="5">
        <v>4</v>
      </c>
      <c r="B21" s="10" t="s">
        <v>38</v>
      </c>
      <c r="C21" s="5">
        <v>4</v>
      </c>
      <c r="D21" s="12"/>
      <c r="F21" s="27" t="s">
        <v>36</v>
      </c>
      <c r="G21" s="23"/>
      <c r="H21" s="30" t="s">
        <v>88</v>
      </c>
    </row>
    <row r="22" spans="1:8" x14ac:dyDescent="0.3">
      <c r="A22" s="5">
        <v>4</v>
      </c>
      <c r="B22" s="8" t="s">
        <v>30</v>
      </c>
      <c r="C22" s="5">
        <v>4</v>
      </c>
      <c r="D22" s="12"/>
      <c r="F22" s="27" t="s">
        <v>32</v>
      </c>
      <c r="G22" s="23"/>
      <c r="H22" s="30" t="s">
        <v>88</v>
      </c>
    </row>
    <row r="23" spans="1:8" x14ac:dyDescent="0.3">
      <c r="A23" s="5">
        <v>4</v>
      </c>
      <c r="B23" s="8" t="s">
        <v>36</v>
      </c>
      <c r="C23" s="5">
        <v>4</v>
      </c>
      <c r="D23" s="13"/>
      <c r="F23" s="27" t="s">
        <v>24</v>
      </c>
      <c r="G23" s="23" t="s">
        <v>74</v>
      </c>
      <c r="H23" s="28" t="s">
        <v>87</v>
      </c>
    </row>
    <row r="24" spans="1:8" x14ac:dyDescent="0.3">
      <c r="A24" s="5">
        <v>4</v>
      </c>
      <c r="B24" s="8" t="s">
        <v>32</v>
      </c>
      <c r="C24" s="5">
        <v>4</v>
      </c>
      <c r="D24" s="16"/>
      <c r="F24" s="31" t="s">
        <v>16</v>
      </c>
      <c r="G24" s="22"/>
      <c r="H24" s="32"/>
    </row>
    <row r="25" spans="1:8" x14ac:dyDescent="0.3">
      <c r="A25" s="5">
        <v>4</v>
      </c>
      <c r="B25" s="8" t="s">
        <v>24</v>
      </c>
      <c r="C25" s="5">
        <v>4</v>
      </c>
      <c r="D25" s="12"/>
      <c r="E25" s="18" t="s">
        <v>58</v>
      </c>
      <c r="F25" s="27" t="s">
        <v>39</v>
      </c>
      <c r="G25" s="23" t="s">
        <v>77</v>
      </c>
      <c r="H25" s="28" t="s">
        <v>87</v>
      </c>
    </row>
    <row r="26" spans="1:8" x14ac:dyDescent="0.3">
      <c r="B26" s="8"/>
      <c r="D26" s="12"/>
      <c r="E26" s="18"/>
      <c r="F26" s="27"/>
      <c r="G26" s="23" t="s">
        <v>76</v>
      </c>
      <c r="H26" s="28" t="s">
        <v>87</v>
      </c>
    </row>
    <row r="27" spans="1:8" x14ac:dyDescent="0.3">
      <c r="B27" s="8"/>
      <c r="D27" s="12"/>
      <c r="E27" s="18"/>
      <c r="F27" s="33" t="s">
        <v>42</v>
      </c>
      <c r="G27" s="23"/>
      <c r="H27" s="28" t="s">
        <v>87</v>
      </c>
    </row>
    <row r="28" spans="1:8" x14ac:dyDescent="0.3">
      <c r="B28" s="8"/>
      <c r="D28" s="12"/>
      <c r="E28" s="18"/>
      <c r="F28" s="33" t="s">
        <v>54</v>
      </c>
      <c r="G28" s="23"/>
      <c r="H28" s="28" t="s">
        <v>87</v>
      </c>
    </row>
    <row r="29" spans="1:8" s="3" customFormat="1" x14ac:dyDescent="0.3">
      <c r="A29" s="3">
        <f>SUM(A30:A38)</f>
        <v>24</v>
      </c>
      <c r="B29" s="1" t="s">
        <v>16</v>
      </c>
      <c r="C29" s="3">
        <f>SUM(C30:C38)</f>
        <v>24</v>
      </c>
      <c r="F29" s="33" t="s">
        <v>48</v>
      </c>
      <c r="G29" s="23" t="s">
        <v>78</v>
      </c>
      <c r="H29" s="28" t="s">
        <v>87</v>
      </c>
    </row>
    <row r="30" spans="1:8" x14ac:dyDescent="0.3">
      <c r="A30" s="5">
        <v>4</v>
      </c>
      <c r="B30" s="8" t="s">
        <v>39</v>
      </c>
      <c r="C30" s="5">
        <v>4</v>
      </c>
      <c r="D30" s="12"/>
      <c r="F30" s="33" t="s">
        <v>49</v>
      </c>
      <c r="G30" s="23" t="s">
        <v>79</v>
      </c>
      <c r="H30" s="28" t="s">
        <v>87</v>
      </c>
    </row>
    <row r="31" spans="1:8" x14ac:dyDescent="0.3">
      <c r="A31" s="5">
        <v>4</v>
      </c>
      <c r="B31" s="7" t="s">
        <v>42</v>
      </c>
      <c r="C31" s="5">
        <v>4</v>
      </c>
      <c r="D31" s="12"/>
      <c r="F31" s="33" t="s">
        <v>43</v>
      </c>
      <c r="G31" s="23" t="s">
        <v>81</v>
      </c>
      <c r="H31" s="28" t="s">
        <v>87</v>
      </c>
    </row>
    <row r="32" spans="1:8" x14ac:dyDescent="0.3">
      <c r="B32" s="7"/>
      <c r="D32" s="12"/>
      <c r="F32" s="33"/>
      <c r="G32" s="23" t="s">
        <v>80</v>
      </c>
      <c r="H32" s="28" t="s">
        <v>87</v>
      </c>
    </row>
    <row r="33" spans="1:8" x14ac:dyDescent="0.3">
      <c r="A33" s="5">
        <v>4</v>
      </c>
      <c r="B33" s="7" t="s">
        <v>54</v>
      </c>
      <c r="C33" s="5">
        <v>4</v>
      </c>
      <c r="D33" s="15"/>
      <c r="F33" s="31" t="s">
        <v>14</v>
      </c>
      <c r="G33" s="22"/>
      <c r="H33" s="32"/>
    </row>
    <row r="34" spans="1:8" x14ac:dyDescent="0.3">
      <c r="A34" s="5">
        <v>4</v>
      </c>
      <c r="B34" s="7" t="s">
        <v>48</v>
      </c>
      <c r="C34" s="5">
        <v>4</v>
      </c>
      <c r="D34" s="15"/>
      <c r="E34" s="18" t="s">
        <v>57</v>
      </c>
      <c r="F34" s="34" t="s">
        <v>50</v>
      </c>
      <c r="G34" s="23" t="s">
        <v>82</v>
      </c>
      <c r="H34" s="28" t="s">
        <v>87</v>
      </c>
    </row>
    <row r="35" spans="1:8" x14ac:dyDescent="0.3">
      <c r="B35" s="7"/>
      <c r="D35" s="15"/>
      <c r="E35" s="18"/>
      <c r="F35" s="34"/>
      <c r="G35" s="23" t="s">
        <v>83</v>
      </c>
      <c r="H35" s="28" t="s">
        <v>87</v>
      </c>
    </row>
    <row r="36" spans="1:8" x14ac:dyDescent="0.3">
      <c r="B36" s="7"/>
      <c r="D36" s="15"/>
      <c r="E36" s="18"/>
      <c r="F36" s="34"/>
      <c r="G36" s="23" t="s">
        <v>84</v>
      </c>
      <c r="H36" s="28" t="s">
        <v>87</v>
      </c>
    </row>
    <row r="37" spans="1:8" x14ac:dyDescent="0.3">
      <c r="A37" s="5">
        <v>4</v>
      </c>
      <c r="B37" s="7" t="s">
        <v>49</v>
      </c>
      <c r="C37" s="5">
        <v>4</v>
      </c>
      <c r="D37" s="12"/>
      <c r="F37" s="29" t="s">
        <v>53</v>
      </c>
      <c r="G37" s="23" t="s">
        <v>85</v>
      </c>
      <c r="H37" s="28" t="s">
        <v>87</v>
      </c>
    </row>
    <row r="38" spans="1:8" x14ac:dyDescent="0.3">
      <c r="A38" s="5">
        <v>4</v>
      </c>
      <c r="B38" s="7" t="s">
        <v>43</v>
      </c>
      <c r="C38" s="5">
        <v>4</v>
      </c>
      <c r="D38" s="21"/>
      <c r="E38" s="18" t="s">
        <v>61</v>
      </c>
      <c r="F38" s="29" t="s">
        <v>51</v>
      </c>
      <c r="G38" s="23"/>
      <c r="H38" s="28" t="s">
        <v>87</v>
      </c>
    </row>
    <row r="39" spans="1:8" s="3" customFormat="1" x14ac:dyDescent="0.3">
      <c r="A39" s="3">
        <f>SUM(A40:A44)</f>
        <v>20</v>
      </c>
      <c r="B39" s="1" t="s">
        <v>14</v>
      </c>
      <c r="C39" s="3">
        <f>SUM(C40:C44)</f>
        <v>20</v>
      </c>
      <c r="F39" s="33" t="s">
        <v>52</v>
      </c>
      <c r="G39" s="23"/>
      <c r="H39" s="28" t="s">
        <v>87</v>
      </c>
    </row>
    <row r="40" spans="1:8" x14ac:dyDescent="0.3">
      <c r="A40" s="5">
        <v>4</v>
      </c>
      <c r="B40" s="11" t="s">
        <v>50</v>
      </c>
      <c r="C40" s="5">
        <v>4</v>
      </c>
      <c r="D40" s="12"/>
      <c r="F40" s="33" t="s">
        <v>44</v>
      </c>
      <c r="G40" s="23"/>
      <c r="H40" s="28" t="s">
        <v>87</v>
      </c>
    </row>
    <row r="41" spans="1:8" x14ac:dyDescent="0.3">
      <c r="A41" s="5">
        <v>4</v>
      </c>
      <c r="B41" s="9" t="s">
        <v>53</v>
      </c>
      <c r="C41" s="5">
        <v>4</v>
      </c>
      <c r="D41" s="12"/>
      <c r="F41" s="31" t="s">
        <v>8</v>
      </c>
      <c r="G41" s="22"/>
      <c r="H41" s="32"/>
    </row>
    <row r="42" spans="1:8" x14ac:dyDescent="0.3">
      <c r="A42" s="5">
        <v>4</v>
      </c>
      <c r="B42" s="9" t="s">
        <v>51</v>
      </c>
      <c r="C42" s="5">
        <v>4</v>
      </c>
      <c r="D42" s="17"/>
      <c r="E42" s="19" t="s">
        <v>56</v>
      </c>
      <c r="F42" s="33" t="s">
        <v>41</v>
      </c>
      <c r="G42" s="23" t="s">
        <v>86</v>
      </c>
      <c r="H42" s="28" t="s">
        <v>87</v>
      </c>
    </row>
    <row r="43" spans="1:8" ht="19.5" thickBot="1" x14ac:dyDescent="0.35">
      <c r="A43" s="5">
        <v>4</v>
      </c>
      <c r="B43" s="7" t="s">
        <v>52</v>
      </c>
      <c r="C43" s="5">
        <v>4</v>
      </c>
      <c r="D43" s="15"/>
      <c r="E43" s="18" t="s">
        <v>56</v>
      </c>
      <c r="F43" s="35" t="s">
        <v>40</v>
      </c>
      <c r="G43" s="36"/>
      <c r="H43" s="37" t="s">
        <v>87</v>
      </c>
    </row>
    <row r="44" spans="1:8" x14ac:dyDescent="0.3">
      <c r="A44" s="5">
        <v>4</v>
      </c>
      <c r="B44" s="7" t="s">
        <v>44</v>
      </c>
      <c r="C44" s="5">
        <v>4</v>
      </c>
      <c r="D44" s="12"/>
      <c r="F44" s="7"/>
    </row>
    <row r="45" spans="1:8" s="3" customFormat="1" x14ac:dyDescent="0.3">
      <c r="A45" s="3">
        <f>SUM(A46:A50)</f>
        <v>10</v>
      </c>
      <c r="B45" s="1" t="s">
        <v>5</v>
      </c>
      <c r="C45" s="3">
        <f>SUM(C46:C50)</f>
        <v>10</v>
      </c>
      <c r="F45" s="7"/>
      <c r="G45" s="5"/>
      <c r="H45" s="5"/>
    </row>
    <row r="46" spans="1:8" x14ac:dyDescent="0.3">
      <c r="A46" s="5">
        <v>2</v>
      </c>
      <c r="B46" s="8" t="s">
        <v>6</v>
      </c>
      <c r="C46" s="5">
        <v>2</v>
      </c>
      <c r="D46" s="20"/>
      <c r="F46" s="7"/>
    </row>
    <row r="47" spans="1:8" x14ac:dyDescent="0.3">
      <c r="A47" s="5">
        <v>2</v>
      </c>
      <c r="B47" s="8" t="s">
        <v>23</v>
      </c>
      <c r="C47" s="5">
        <v>2</v>
      </c>
      <c r="D47" s="12"/>
    </row>
    <row r="48" spans="1:8" x14ac:dyDescent="0.3">
      <c r="A48" s="5">
        <v>2</v>
      </c>
      <c r="B48" s="8" t="s">
        <v>26</v>
      </c>
      <c r="C48" s="5">
        <v>2</v>
      </c>
      <c r="D48" s="16"/>
    </row>
    <row r="49" spans="1:8" x14ac:dyDescent="0.3">
      <c r="A49" s="5">
        <v>2</v>
      </c>
      <c r="B49" s="8" t="s">
        <v>7</v>
      </c>
      <c r="C49" s="5">
        <v>2</v>
      </c>
      <c r="D49" s="12"/>
    </row>
    <row r="50" spans="1:8" x14ac:dyDescent="0.3">
      <c r="A50" s="5">
        <v>2</v>
      </c>
      <c r="B50" s="8" t="s">
        <v>17</v>
      </c>
      <c r="C50" s="5">
        <v>2</v>
      </c>
      <c r="D50" s="16"/>
    </row>
    <row r="51" spans="1:8" s="3" customFormat="1" x14ac:dyDescent="0.3">
      <c r="B51" s="1" t="s">
        <v>8</v>
      </c>
      <c r="C51" s="3">
        <f>SUM(C52:C56)</f>
        <v>0</v>
      </c>
      <c r="F51" s="5"/>
      <c r="G51" s="5"/>
      <c r="H51" s="5"/>
    </row>
    <row r="52" spans="1:8" x14ac:dyDescent="0.3">
      <c r="B52" s="7" t="s">
        <v>41</v>
      </c>
      <c r="D52" s="15"/>
      <c r="E52" s="18" t="s">
        <v>58</v>
      </c>
    </row>
    <row r="53" spans="1:8" x14ac:dyDescent="0.3">
      <c r="B53" s="7" t="s">
        <v>40</v>
      </c>
      <c r="D53" s="15"/>
      <c r="E53" s="18" t="s">
        <v>60</v>
      </c>
    </row>
    <row r="54" spans="1:8" x14ac:dyDescent="0.3">
      <c r="B54" s="7" t="s">
        <v>47</v>
      </c>
      <c r="D54" s="16"/>
    </row>
    <row r="55" spans="1:8" x14ac:dyDescent="0.3">
      <c r="B55" s="7" t="s">
        <v>19</v>
      </c>
      <c r="D55" s="16"/>
    </row>
    <row r="56" spans="1:8" x14ac:dyDescent="0.3">
      <c r="B56" s="7" t="s">
        <v>10</v>
      </c>
      <c r="D56" s="16"/>
    </row>
    <row r="57" spans="1:8" s="3" customFormat="1" x14ac:dyDescent="0.3">
      <c r="B57" s="1" t="s">
        <v>9</v>
      </c>
      <c r="C57" s="3">
        <f>SUM(C58:C62)</f>
        <v>0</v>
      </c>
      <c r="F57" s="5"/>
      <c r="G57" s="5"/>
      <c r="H57" s="5"/>
    </row>
    <row r="58" spans="1:8" x14ac:dyDescent="0.3">
      <c r="B58" s="2" t="s">
        <v>1</v>
      </c>
      <c r="D58" s="12"/>
    </row>
    <row r="59" spans="1:8" x14ac:dyDescent="0.3">
      <c r="B59" s="2" t="s">
        <v>13</v>
      </c>
    </row>
    <row r="60" spans="1:8" x14ac:dyDescent="0.3">
      <c r="B60" s="2" t="s">
        <v>18</v>
      </c>
      <c r="D60" s="15"/>
      <c r="E60" s="5" t="s">
        <v>55</v>
      </c>
    </row>
    <row r="61" spans="1:8" x14ac:dyDescent="0.3">
      <c r="B61" s="2" t="s">
        <v>11</v>
      </c>
      <c r="D61" s="15"/>
    </row>
    <row r="62" spans="1:8" x14ac:dyDescent="0.3">
      <c r="B62" s="2" t="s">
        <v>12</v>
      </c>
      <c r="D62" s="15"/>
      <c r="E62" s="18" t="s">
        <v>59</v>
      </c>
    </row>
    <row r="63" spans="1:8" s="3" customFormat="1" x14ac:dyDescent="0.3">
      <c r="B63" s="1" t="s">
        <v>22</v>
      </c>
      <c r="F63" s="5"/>
      <c r="G63" s="5"/>
      <c r="H63" s="5"/>
    </row>
    <row r="64" spans="1:8" x14ac:dyDescent="0.3">
      <c r="B64" s="2" t="s">
        <v>21</v>
      </c>
    </row>
    <row r="65" spans="2:2" x14ac:dyDescent="0.3">
      <c r="B65" s="2" t="s">
        <v>20</v>
      </c>
    </row>
    <row r="66" spans="2:2" x14ac:dyDescent="0.3">
      <c r="B66" s="2" t="s">
        <v>27</v>
      </c>
    </row>
    <row r="67" spans="2:2" x14ac:dyDescent="0.3">
      <c r="B67" s="2" t="s">
        <v>28</v>
      </c>
    </row>
    <row r="68" spans="2:2" x14ac:dyDescent="0.3">
      <c r="B68" s="2" t="s">
        <v>45</v>
      </c>
    </row>
  </sheetData>
  <phoneticPr fontId="4" type="noConversion"/>
  <pageMargins left="0.75" right="0.75" top="1" bottom="1" header="0.5" footer="0.5"/>
  <pageSetup paperSize="9" scale="79" fitToHeight="2" orientation="portrait" horizontalDpi="4294967292" vertic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1</vt:i4>
      </vt:variant>
    </vt:vector>
  </HeadingPairs>
  <TitlesOfParts>
    <vt:vector size="2" baseType="lpstr">
      <vt:lpstr>2019-2020</vt:lpstr>
      <vt:lpstr>'2019-2020'!Área_de_Impressão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Alcides Fonseca</dc:creator>
  <cp:lastModifiedBy>Miguel</cp:lastModifiedBy>
  <cp:lastPrinted>2016-09-26T11:13:55Z</cp:lastPrinted>
  <dcterms:created xsi:type="dcterms:W3CDTF">2012-10-17T10:28:10Z</dcterms:created>
  <dcterms:modified xsi:type="dcterms:W3CDTF">2019-10-28T23:31:42Z</dcterms:modified>
</cp:coreProperties>
</file>