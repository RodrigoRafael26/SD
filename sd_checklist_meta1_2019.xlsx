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Miguel\Desktop\Ricardo\"/>
    </mc:Choice>
  </mc:AlternateContent>
  <xr:revisionPtr revIDLastSave="0" documentId="13_ncr:1_{A3CAB425-EBA6-4FB6-AB22-AFACE7F7C0E7}" xr6:coauthVersionLast="41" xr6:coauthVersionMax="45" xr10:uidLastSave="{00000000-0000-0000-0000-000000000000}"/>
  <bookViews>
    <workbookView xWindow="-120" yWindow="-120" windowWidth="20730" windowHeight="11160" tabRatio="500" xr2:uid="{00000000-000D-0000-FFFF-FFFF00000000}"/>
  </bookViews>
  <sheets>
    <sheet name="2019-2020" sheetId="2" r:id="rId1"/>
  </sheets>
  <definedNames>
    <definedName name="_xlnm.Print_Area" localSheetId="0">'2019-2020'!$A$1:$C$48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37" i="2" l="1"/>
  <c r="C31" i="2"/>
  <c r="C5" i="2"/>
  <c r="C18" i="2"/>
  <c r="C25" i="2"/>
  <c r="C43" i="2"/>
  <c r="A31" i="2"/>
  <c r="A5" i="2"/>
  <c r="A18" i="2"/>
  <c r="A25" i="2"/>
  <c r="C4" i="2" l="1"/>
  <c r="A4" i="2"/>
</calcChain>
</file>

<file path=xl/sharedStrings.xml><?xml version="1.0" encoding="utf-8"?>
<sst xmlns="http://schemas.openxmlformats.org/spreadsheetml/2006/main" count="66" uniqueCount="62">
  <si>
    <t>Requisitos Funcionais</t>
  </si>
  <si>
    <t>Pontualidade (-10)</t>
  </si>
  <si>
    <t>Nome:</t>
  </si>
  <si>
    <t>Número de Aluno:</t>
  </si>
  <si>
    <t>Nota Final:</t>
  </si>
  <si>
    <t>Relatório</t>
  </si>
  <si>
    <t>Arquitetura de software detalhadamente descrita</t>
  </si>
  <si>
    <t>Distribuição de tarefas pelos elementos do grupo</t>
  </si>
  <si>
    <t>Extra (até 5 pontos)</t>
  </si>
  <si>
    <t>Pontos Obrigatórios</t>
  </si>
  <si>
    <t>Outros (a propor pelos alunos)</t>
  </si>
  <si>
    <t>A aplicação não apresenta erros/exceções/avarias (-5)</t>
  </si>
  <si>
    <t>Código legível e bem comentado (-5)</t>
  </si>
  <si>
    <t>O projeto corre distribuído por várias máquinas (-5)</t>
  </si>
  <si>
    <t>Failover</t>
  </si>
  <si>
    <t>Aluno de SD</t>
  </si>
  <si>
    <t>Tratamento de Exceções</t>
  </si>
  <si>
    <t>Testes de software (tabela com descrição + pass/fail de cada teste)</t>
  </si>
  <si>
    <t>Configuração não requer recompilação (-5)</t>
  </si>
  <si>
    <t>STONITH nos servidores RMI (3p)</t>
  </si>
  <si>
    <t>Trazem duas máquinas (e.g., dois portáteis)</t>
  </si>
  <si>
    <t>Os estudantes chegam 15 minutos antes para prepararem tudo</t>
  </si>
  <si>
    <t>No dia da defesa</t>
  </si>
  <si>
    <t>Detalhes do funcionamento do servidor UDP (protocolo multicast, etc.)</t>
  </si>
  <si>
    <t>Entrega posterior de notificações (offline users)</t>
  </si>
  <si>
    <t>Registar novo utilizador</t>
  </si>
  <si>
    <t>Detalhes do funcionamento do servidor RMI (interface, javadocs, etc.)</t>
  </si>
  <si>
    <t>Portátil #1 corre 1 servidor multicast e 1 cliente RMI</t>
  </si>
  <si>
    <t>Portátil #2 corre 1 servidor multicast, 2 servidores RMI e 1 cliente RMI</t>
  </si>
  <si>
    <t>Sistemas Distribuídos 2019/20 - Meta 1</t>
  </si>
  <si>
    <t>Dar privilégios de administrador a um utilizador</t>
  </si>
  <si>
    <t>Pesquisar páginas que contenham um conjunto de palavras</t>
  </si>
  <si>
    <t>Notificação imediata de privilégios de administrador (online users)</t>
  </si>
  <si>
    <t>Resultados ordenados por número de ligações para cada página</t>
  </si>
  <si>
    <t>Consultar lista de páginas com ligações para uma página específica</t>
  </si>
  <si>
    <t>Indexar novo URL introduzido por administrador</t>
  </si>
  <si>
    <t>Página de administração atualizada em tempo real</t>
  </si>
  <si>
    <t>Acesso protegido com password (exceto pesquisas)</t>
  </si>
  <si>
    <t>Consultar lista de pesquisas feitas pelo próprio utilizador</t>
  </si>
  <si>
    <t>Avaria de um servidor RMI não tem efeito visível nos clientes</t>
  </si>
  <si>
    <t>Balanceamento da carga dos servidores multicast (3p)</t>
  </si>
  <si>
    <t>Servidores multicast replicam o índice repartido em grupos (5p)</t>
  </si>
  <si>
    <t>Servidor RMI secundário testa e substitui o primário em caso de avaria longa</t>
  </si>
  <si>
    <t>Pedidos de indexação são respondidos apenas por um servidor multicast</t>
  </si>
  <si>
    <t>O servidor RMI original, quando recupera, torna-se secundário</t>
  </si>
  <si>
    <t>Há dados de teste (três utilizadores e o índice contém dezenas de páginas)</t>
  </si>
  <si>
    <t>Indexar iterativamente ou recursivamente todos os URLs encontrados</t>
  </si>
  <si>
    <t>Pesquisas avançadas e algoritmos de ranking de páginas (4p)</t>
  </si>
  <si>
    <t>Avarias temporárias (&lt;30s) dos servidores multicast são invisíveis para clientes</t>
  </si>
  <si>
    <t>Pedidos são garantidamente processados por N&gt;=1 servidores multicast</t>
  </si>
  <si>
    <t>O serviço funciona se houver pelo menos um servidor multicast disponível</t>
  </si>
  <si>
    <t>Cada servidor multicast replica a sua parte do índice por outros servidores (TCP)</t>
  </si>
  <si>
    <t>Cada servidor distribui URLs para serem indexados por outros servidores</t>
  </si>
  <si>
    <t>Os servidores multicast recuperam de disco o seu estado se avariarem</t>
  </si>
  <si>
    <t>Em caso de avaria longa os clientes RMI ligam ao secundário (sessão mantida)</t>
  </si>
  <si>
    <t>Falta RMI</t>
  </si>
  <si>
    <t>Falta Testar</t>
  </si>
  <si>
    <t>Não tenho a certeza</t>
  </si>
  <si>
    <t>Falta testar</t>
  </si>
  <si>
    <t>mais ou menos</t>
  </si>
  <si>
    <t>Testar</t>
  </si>
  <si>
    <t>Falta testar c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</si>
</sst>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4"/>
      <color theme="1"/>
      <name val="Calibri"/>
      <scheme val="minor"/>
    </font>
    <font>
      <sz val="8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FF00"/>
      <name val="Calibri"/>
      <family val="2"/>
      <scheme val="minor"/>
    </font>
    <font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5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3" fillId="2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2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5" fillId="0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Fill="1" applyBorder="1" applyAlignment="1">
      <alignment horizontal="left"/>
    </xf>
    <xf numFmtId="0" fontId="5" fillId="0" borderId="0" xfId="0" applyFont="1" applyAlignment="1"/>
    <xf numFmtId="0" fontId="3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4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</cellXfs>
  <cellStyles count="155">
    <cellStyle name="Hiperligação" xfId="1" builtinId="8" hidden="1"/>
    <cellStyle name="Hiperligação" xfId="3" builtinId="8" hidden="1"/>
    <cellStyle name="Hiperligação" xfId="5" builtinId="8" hidden="1"/>
    <cellStyle name="Hiperligação" xfId="7" builtinId="8" hidden="1"/>
    <cellStyle name="Hiperligação" xfId="9" builtinId="8" hidden="1"/>
    <cellStyle name="Hiperligação" xfId="11" builtinId="8" hidden="1"/>
    <cellStyle name="Hiperligação" xfId="13" builtinId="8" hidden="1"/>
    <cellStyle name="Hiperligação" xfId="15" builtinId="8" hidden="1"/>
    <cellStyle name="Hiperligação" xfId="17" builtinId="8" hidden="1"/>
    <cellStyle name="Hiperligação" xfId="19" builtinId="8" hidden="1"/>
    <cellStyle name="Hiperligação" xfId="21" builtinId="8" hidden="1"/>
    <cellStyle name="Hiperligação" xfId="23" builtinId="8" hidden="1"/>
    <cellStyle name="Hiperligação" xfId="25" builtinId="8" hidden="1"/>
    <cellStyle name="Hiperligação" xfId="27" builtinId="8" hidden="1"/>
    <cellStyle name="Hiperligação" xfId="29" builtinId="8" hidden="1"/>
    <cellStyle name="Hiperligação" xfId="31" builtinId="8" hidden="1"/>
    <cellStyle name="Hiperligação" xfId="33" builtinId="8" hidden="1"/>
    <cellStyle name="Hiperligação" xfId="35" builtinId="8" hidden="1"/>
    <cellStyle name="Hiperligação" xfId="37" builtinId="8" hidden="1"/>
    <cellStyle name="Hiperligação" xfId="39" builtinId="8" hidden="1"/>
    <cellStyle name="Hiperligação" xfId="41" builtinId="8" hidden="1"/>
    <cellStyle name="Hiperligação" xfId="43" builtinId="8" hidden="1"/>
    <cellStyle name="Hiperligação" xfId="45" builtinId="8" hidden="1"/>
    <cellStyle name="Hiperligação" xfId="47" builtinId="8" hidden="1"/>
    <cellStyle name="Hiperligação" xfId="49" builtinId="8" hidden="1"/>
    <cellStyle name="Hiperligação" xfId="51" builtinId="8" hidden="1"/>
    <cellStyle name="Hiperligação" xfId="53" builtinId="8" hidden="1"/>
    <cellStyle name="Hiperligação" xfId="55" builtinId="8" hidden="1"/>
    <cellStyle name="Hiperligação" xfId="57" builtinId="8" hidden="1"/>
    <cellStyle name="Hiperligação" xfId="59" builtinId="8" hidden="1"/>
    <cellStyle name="Hiperligação" xfId="61" builtinId="8" hidden="1"/>
    <cellStyle name="Hiperligação" xfId="63" builtinId="8" hidden="1"/>
    <cellStyle name="Hiperligação" xfId="65" builtinId="8" hidden="1"/>
    <cellStyle name="Hiperligação" xfId="67" builtinId="8" hidden="1"/>
    <cellStyle name="Hiperligação" xfId="69" builtinId="8" hidden="1"/>
    <cellStyle name="Hiperligação" xfId="71" builtinId="8" hidden="1"/>
    <cellStyle name="Hiperligação" xfId="73" builtinId="8" hidden="1"/>
    <cellStyle name="Hiperligação" xfId="75" builtinId="8" hidden="1"/>
    <cellStyle name="Hiperligação" xfId="77" builtinId="8" hidden="1"/>
    <cellStyle name="Hiperligação" xfId="79" builtinId="8" hidden="1"/>
    <cellStyle name="Hiperligação" xfId="81" builtinId="8" hidden="1"/>
    <cellStyle name="Hiperligação" xfId="83" builtinId="8" hidden="1"/>
    <cellStyle name="Hiperligação" xfId="85" builtinId="8" hidden="1"/>
    <cellStyle name="Hiperligação" xfId="87" builtinId="8" hidden="1"/>
    <cellStyle name="Hiperligação" xfId="89" builtinId="8" hidden="1"/>
    <cellStyle name="Hiperligação" xfId="91" builtinId="8" hidden="1"/>
    <cellStyle name="Hiperligação" xfId="93" builtinId="8" hidden="1"/>
    <cellStyle name="Hiperligação" xfId="95" builtinId="8" hidden="1"/>
    <cellStyle name="Hiperligação" xfId="97" builtinId="8" hidden="1"/>
    <cellStyle name="Hiperligação" xfId="99" builtinId="8" hidden="1"/>
    <cellStyle name="Hiperligação" xfId="101" builtinId="8" hidden="1"/>
    <cellStyle name="Hiperligação" xfId="103" builtinId="8" hidden="1"/>
    <cellStyle name="Hiperligação" xfId="105" builtinId="8" hidden="1"/>
    <cellStyle name="Hiperligação" xfId="107" builtinId="8" hidden="1"/>
    <cellStyle name="Hiperligação" xfId="109" builtinId="8" hidden="1"/>
    <cellStyle name="Hiperligação" xfId="111" builtinId="8" hidden="1"/>
    <cellStyle name="Hiperligação" xfId="113" builtinId="8" hidden="1"/>
    <cellStyle name="Hiperligação" xfId="115" builtinId="8" hidden="1"/>
    <cellStyle name="Hiperligação" xfId="117" builtinId="8" hidden="1"/>
    <cellStyle name="Hiperligação" xfId="119" builtinId="8" hidden="1"/>
    <cellStyle name="Hiperligação" xfId="121" builtinId="8" hidden="1"/>
    <cellStyle name="Hiperligação" xfId="123" builtinId="8" hidden="1"/>
    <cellStyle name="Hiperligação" xfId="125" builtinId="8" hidden="1"/>
    <cellStyle name="Hiperligação" xfId="127" builtinId="8" hidden="1"/>
    <cellStyle name="Hiperligação" xfId="129" builtinId="8" hidden="1"/>
    <cellStyle name="Hiperligação" xfId="131" builtinId="8" hidden="1"/>
    <cellStyle name="Hiperligação" xfId="133" builtinId="8" hidden="1"/>
    <cellStyle name="Hiperligação" xfId="135" builtinId="8" hidden="1"/>
    <cellStyle name="Hiperligação" xfId="137" builtinId="8" hidden="1"/>
    <cellStyle name="Hiperligação" xfId="139" builtinId="8" hidden="1"/>
    <cellStyle name="Hiperligação" xfId="141" builtinId="8" hidden="1"/>
    <cellStyle name="Hiperligação" xfId="143" builtinId="8" hidden="1"/>
    <cellStyle name="Hiperligação" xfId="145" builtinId="8" hidden="1"/>
    <cellStyle name="Hiperligação" xfId="147" builtinId="8" hidden="1"/>
    <cellStyle name="Hiperligação" xfId="149" builtinId="8" hidden="1"/>
    <cellStyle name="Hiperligação" xfId="151" builtinId="8" hidden="1"/>
    <cellStyle name="Hiperligação" xfId="153" builtinId="8" hidden="1"/>
    <cellStyle name="Hiperligação Visitada" xfId="2" builtinId="9" hidden="1"/>
    <cellStyle name="Hiperligação Visitada" xfId="4" builtinId="9" hidden="1"/>
    <cellStyle name="Hiperligação Visitada" xfId="6" builtinId="9" hidden="1"/>
    <cellStyle name="Hiperligação Visitada" xfId="8" builtinId="9" hidden="1"/>
    <cellStyle name="Hiperligação Visitada" xfId="10" builtinId="9" hidden="1"/>
    <cellStyle name="Hiperligação Visitada" xfId="12" builtinId="9" hidden="1"/>
    <cellStyle name="Hiperligação Visitada" xfId="14" builtinId="9" hidden="1"/>
    <cellStyle name="Hiperligação Visitada" xfId="16" builtinId="9" hidden="1"/>
    <cellStyle name="Hiperligação Visitada" xfId="18" builtinId="9" hidden="1"/>
    <cellStyle name="Hiperligação Visitada" xfId="20" builtinId="9" hidden="1"/>
    <cellStyle name="Hiperligação Visitada" xfId="22" builtinId="9" hidden="1"/>
    <cellStyle name="Hiperligação Visitada" xfId="24" builtinId="9" hidden="1"/>
    <cellStyle name="Hiperligação Visitada" xfId="26" builtinId="9" hidden="1"/>
    <cellStyle name="Hiperligação Visitada" xfId="28" builtinId="9" hidden="1"/>
    <cellStyle name="Hiperligação Visitada" xfId="30" builtinId="9" hidden="1"/>
    <cellStyle name="Hiperligação Visitada" xfId="32" builtinId="9" hidden="1"/>
    <cellStyle name="Hiperligação Visitada" xfId="34" builtinId="9" hidden="1"/>
    <cellStyle name="Hiperligação Visitada" xfId="36" builtinId="9" hidden="1"/>
    <cellStyle name="Hiperligação Visitada" xfId="38" builtinId="9" hidden="1"/>
    <cellStyle name="Hiperligação Visitada" xfId="40" builtinId="9" hidden="1"/>
    <cellStyle name="Hiperligação Visitada" xfId="42" builtinId="9" hidden="1"/>
    <cellStyle name="Hiperligação Visitada" xfId="44" builtinId="9" hidden="1"/>
    <cellStyle name="Hiperligação Visitada" xfId="46" builtinId="9" hidden="1"/>
    <cellStyle name="Hiperligação Visitada" xfId="48" builtinId="9" hidden="1"/>
    <cellStyle name="Hiperligação Visitada" xfId="50" builtinId="9" hidden="1"/>
    <cellStyle name="Hiperligação Visitada" xfId="52" builtinId="9" hidden="1"/>
    <cellStyle name="Hiperligação Visitada" xfId="54" builtinId="9" hidden="1"/>
    <cellStyle name="Hiperligação Visitada" xfId="56" builtinId="9" hidden="1"/>
    <cellStyle name="Hiperligação Visitada" xfId="58" builtinId="9" hidden="1"/>
    <cellStyle name="Hiperligação Visitada" xfId="60" builtinId="9" hidden="1"/>
    <cellStyle name="Hiperligação Visitada" xfId="62" builtinId="9" hidden="1"/>
    <cellStyle name="Hiperligação Visitada" xfId="64" builtinId="9" hidden="1"/>
    <cellStyle name="Hiperligação Visitada" xfId="66" builtinId="9" hidden="1"/>
    <cellStyle name="Hiperligação Visitada" xfId="68" builtinId="9" hidden="1"/>
    <cellStyle name="Hiperligação Visitada" xfId="70" builtinId="9" hidden="1"/>
    <cellStyle name="Hiperligação Visitada" xfId="72" builtinId="9" hidden="1"/>
    <cellStyle name="Hiperligação Visitada" xfId="74" builtinId="9" hidden="1"/>
    <cellStyle name="Hiperligação Visitada" xfId="76" builtinId="9" hidden="1"/>
    <cellStyle name="Hiperligação Visitada" xfId="78" builtinId="9" hidden="1"/>
    <cellStyle name="Hiperligação Visitada" xfId="80" builtinId="9" hidden="1"/>
    <cellStyle name="Hiperligação Visitada" xfId="82" builtinId="9" hidden="1"/>
    <cellStyle name="Hiperligação Visitada" xfId="84" builtinId="9" hidden="1"/>
    <cellStyle name="Hiperligação Visitada" xfId="86" builtinId="9" hidden="1"/>
    <cellStyle name="Hiperligação Visitada" xfId="88" builtinId="9" hidden="1"/>
    <cellStyle name="Hiperligação Visitada" xfId="90" builtinId="9" hidden="1"/>
    <cellStyle name="Hiperligação Visitada" xfId="92" builtinId="9" hidden="1"/>
    <cellStyle name="Hiperligação Visitada" xfId="94" builtinId="9" hidden="1"/>
    <cellStyle name="Hiperligação Visitada" xfId="96" builtinId="9" hidden="1"/>
    <cellStyle name="Hiperligação Visitada" xfId="98" builtinId="9" hidden="1"/>
    <cellStyle name="Hiperligação Visitada" xfId="100" builtinId="9" hidden="1"/>
    <cellStyle name="Hiperligação Visitada" xfId="102" builtinId="9" hidden="1"/>
    <cellStyle name="Hiperligação Visitada" xfId="104" builtinId="9" hidden="1"/>
    <cellStyle name="Hiperligação Visitada" xfId="106" builtinId="9" hidden="1"/>
    <cellStyle name="Hiperligação Visitada" xfId="108" builtinId="9" hidden="1"/>
    <cellStyle name="Hiperligação Visitada" xfId="110" builtinId="9" hidden="1"/>
    <cellStyle name="Hiperligação Visitada" xfId="112" builtinId="9" hidden="1"/>
    <cellStyle name="Hiperligação Visitada" xfId="114" builtinId="9" hidden="1"/>
    <cellStyle name="Hiperligação Visitada" xfId="116" builtinId="9" hidden="1"/>
    <cellStyle name="Hiperligação Visitada" xfId="118" builtinId="9" hidden="1"/>
    <cellStyle name="Hiperligação Visitada" xfId="120" builtinId="9" hidden="1"/>
    <cellStyle name="Hiperligação Visitada" xfId="122" builtinId="9" hidden="1"/>
    <cellStyle name="Hiperligação Visitada" xfId="124" builtinId="9" hidden="1"/>
    <cellStyle name="Hiperligação Visitada" xfId="126" builtinId="9" hidden="1"/>
    <cellStyle name="Hiperligação Visitada" xfId="128" builtinId="9" hidden="1"/>
    <cellStyle name="Hiperligação Visitada" xfId="130" builtinId="9" hidden="1"/>
    <cellStyle name="Hiperligação Visitada" xfId="132" builtinId="9" hidden="1"/>
    <cellStyle name="Hiperligação Visitada" xfId="134" builtinId="9" hidden="1"/>
    <cellStyle name="Hiperligação Visitada" xfId="136" builtinId="9" hidden="1"/>
    <cellStyle name="Hiperligação Visitada" xfId="138" builtinId="9" hidden="1"/>
    <cellStyle name="Hiperligação Visitada" xfId="140" builtinId="9" hidden="1"/>
    <cellStyle name="Hiperligação Visitada" xfId="142" builtinId="9" hidden="1"/>
    <cellStyle name="Hiperligação Visitada" xfId="144" builtinId="9" hidden="1"/>
    <cellStyle name="Hiperligação Visitada" xfId="146" builtinId="9" hidden="1"/>
    <cellStyle name="Hiperligação Visitada" xfId="148" builtinId="9" hidden="1"/>
    <cellStyle name="Hiperligação Visitada" xfId="150" builtinId="9" hidden="1"/>
    <cellStyle name="Hiperligação Visitada" xfId="152" builtinId="9" hidden="1"/>
    <cellStyle name="Hiperligação Visitada" xfId="154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54"/>
  <sheetViews>
    <sheetView tabSelected="1" zoomScale="55" zoomScaleNormal="55" workbookViewId="0">
      <pane xSplit="2" ySplit="4" topLeftCell="C17" activePane="bottomRight" state="frozen"/>
      <selection pane="topRight" activeCell="C1" sqref="C1"/>
      <selection pane="bottomLeft" activeCell="A6" sqref="A6"/>
      <selection pane="bottomRight" activeCell="D21" sqref="D21"/>
    </sheetView>
  </sheetViews>
  <sheetFormatPr defaultColWidth="27.125" defaultRowHeight="18.75" x14ac:dyDescent="0.3"/>
  <cols>
    <col min="1" max="1" width="13.5" style="5" customWidth="1"/>
    <col min="2" max="2" width="78.5" style="2" customWidth="1"/>
    <col min="3" max="16384" width="27.125" style="5"/>
  </cols>
  <sheetData>
    <row r="1" spans="1:5" s="3" customFormat="1" x14ac:dyDescent="0.3">
      <c r="B1" s="3" t="s">
        <v>29</v>
      </c>
    </row>
    <row r="2" spans="1:5" s="4" customFormat="1" ht="15.75" x14ac:dyDescent="0.25">
      <c r="B2" s="6" t="s">
        <v>2</v>
      </c>
      <c r="C2" s="4" t="s">
        <v>15</v>
      </c>
    </row>
    <row r="3" spans="1:5" s="4" customFormat="1" ht="15.75" x14ac:dyDescent="0.25">
      <c r="B3" s="6" t="s">
        <v>3</v>
      </c>
      <c r="C3" s="4">
        <v>2019987654</v>
      </c>
    </row>
    <row r="4" spans="1:5" s="4" customFormat="1" ht="15.75" x14ac:dyDescent="0.25">
      <c r="A4" s="4">
        <f>A5+A18+A25+A31</f>
        <v>100</v>
      </c>
      <c r="B4" s="6" t="s">
        <v>4</v>
      </c>
      <c r="C4" s="4">
        <f>C5+C18+C25+C31+C37+C43</f>
        <v>100</v>
      </c>
    </row>
    <row r="5" spans="1:5" s="3" customFormat="1" x14ac:dyDescent="0.3">
      <c r="A5" s="3">
        <f>SUM(A6:A17)</f>
        <v>46</v>
      </c>
      <c r="B5" s="1" t="s">
        <v>0</v>
      </c>
      <c r="C5" s="3">
        <f>SUM(C6:C17)</f>
        <v>46</v>
      </c>
    </row>
    <row r="6" spans="1:5" x14ac:dyDescent="0.3">
      <c r="A6" s="5">
        <v>2</v>
      </c>
      <c r="B6" s="8" t="s">
        <v>25</v>
      </c>
      <c r="C6" s="5">
        <v>2</v>
      </c>
      <c r="D6" s="12"/>
    </row>
    <row r="7" spans="1:5" x14ac:dyDescent="0.3">
      <c r="A7" s="5">
        <v>4</v>
      </c>
      <c r="B7" s="8" t="s">
        <v>37</v>
      </c>
      <c r="C7" s="5">
        <v>4</v>
      </c>
      <c r="D7" s="12"/>
    </row>
    <row r="8" spans="1:5" x14ac:dyDescent="0.3">
      <c r="A8" s="5">
        <v>4</v>
      </c>
      <c r="B8" s="8" t="s">
        <v>35</v>
      </c>
      <c r="C8" s="5">
        <v>4</v>
      </c>
      <c r="D8" s="12"/>
    </row>
    <row r="9" spans="1:5" x14ac:dyDescent="0.3">
      <c r="A9" s="5">
        <v>4</v>
      </c>
      <c r="B9" s="8" t="s">
        <v>46</v>
      </c>
      <c r="C9" s="5">
        <v>4</v>
      </c>
      <c r="D9" s="12"/>
    </row>
    <row r="10" spans="1:5" x14ac:dyDescent="0.3">
      <c r="A10" s="5">
        <v>4</v>
      </c>
      <c r="B10" s="8" t="s">
        <v>31</v>
      </c>
      <c r="C10" s="5">
        <v>4</v>
      </c>
      <c r="D10" s="14"/>
      <c r="E10" s="18" t="s">
        <v>58</v>
      </c>
    </row>
    <row r="11" spans="1:5" x14ac:dyDescent="0.3">
      <c r="A11" s="5">
        <v>4</v>
      </c>
      <c r="B11" s="10" t="s">
        <v>33</v>
      </c>
      <c r="C11" s="5">
        <v>4</v>
      </c>
      <c r="D11" s="12"/>
    </row>
    <row r="12" spans="1:5" x14ac:dyDescent="0.3">
      <c r="A12" s="5">
        <v>4</v>
      </c>
      <c r="B12" s="9" t="s">
        <v>34</v>
      </c>
      <c r="C12" s="5">
        <v>4</v>
      </c>
      <c r="D12" s="12"/>
      <c r="E12" s="18" t="s">
        <v>58</v>
      </c>
    </row>
    <row r="13" spans="1:5" x14ac:dyDescent="0.3">
      <c r="A13" s="5">
        <v>4</v>
      </c>
      <c r="B13" s="10" t="s">
        <v>38</v>
      </c>
      <c r="C13" s="5">
        <v>4</v>
      </c>
      <c r="D13" s="12"/>
    </row>
    <row r="14" spans="1:5" x14ac:dyDescent="0.3">
      <c r="A14" s="5">
        <v>4</v>
      </c>
      <c r="B14" s="8" t="s">
        <v>30</v>
      </c>
      <c r="C14" s="5">
        <v>4</v>
      </c>
      <c r="D14" s="12"/>
    </row>
    <row r="15" spans="1:5" x14ac:dyDescent="0.3">
      <c r="A15" s="5">
        <v>4</v>
      </c>
      <c r="B15" s="8" t="s">
        <v>36</v>
      </c>
      <c r="C15" s="5">
        <v>4</v>
      </c>
      <c r="D15" s="13"/>
    </row>
    <row r="16" spans="1:5" x14ac:dyDescent="0.3">
      <c r="A16" s="5">
        <v>4</v>
      </c>
      <c r="B16" s="8" t="s">
        <v>32</v>
      </c>
      <c r="C16" s="5">
        <v>4</v>
      </c>
      <c r="D16" s="16"/>
    </row>
    <row r="17" spans="1:5" x14ac:dyDescent="0.3">
      <c r="A17" s="5">
        <v>4</v>
      </c>
      <c r="B17" s="8" t="s">
        <v>24</v>
      </c>
      <c r="C17" s="5">
        <v>4</v>
      </c>
      <c r="D17" s="12"/>
      <c r="E17" s="18" t="s">
        <v>58</v>
      </c>
    </row>
    <row r="18" spans="1:5" s="3" customFormat="1" x14ac:dyDescent="0.3">
      <c r="A18" s="3">
        <f>SUM(A19:A24)</f>
        <v>24</v>
      </c>
      <c r="B18" s="1" t="s">
        <v>16</v>
      </c>
      <c r="C18" s="3">
        <f>SUM(C19:C24)</f>
        <v>24</v>
      </c>
    </row>
    <row r="19" spans="1:5" x14ac:dyDescent="0.3">
      <c r="A19" s="5">
        <v>4</v>
      </c>
      <c r="B19" s="8" t="s">
        <v>39</v>
      </c>
      <c r="C19" s="5">
        <v>4</v>
      </c>
      <c r="D19" s="12"/>
    </row>
    <row r="20" spans="1:5" x14ac:dyDescent="0.3">
      <c r="A20" s="5">
        <v>4</v>
      </c>
      <c r="B20" s="7" t="s">
        <v>42</v>
      </c>
      <c r="C20" s="5">
        <v>4</v>
      </c>
      <c r="D20" s="12"/>
    </row>
    <row r="21" spans="1:5" x14ac:dyDescent="0.3">
      <c r="A21" s="5">
        <v>4</v>
      </c>
      <c r="B21" s="7" t="s">
        <v>54</v>
      </c>
      <c r="C21" s="5">
        <v>4</v>
      </c>
      <c r="D21" s="15"/>
    </row>
    <row r="22" spans="1:5" x14ac:dyDescent="0.3">
      <c r="A22" s="5">
        <v>4</v>
      </c>
      <c r="B22" s="7" t="s">
        <v>48</v>
      </c>
      <c r="C22" s="5">
        <v>4</v>
      </c>
      <c r="D22" s="15"/>
      <c r="E22" s="18" t="s">
        <v>57</v>
      </c>
    </row>
    <row r="23" spans="1:5" x14ac:dyDescent="0.3">
      <c r="A23" s="5">
        <v>4</v>
      </c>
      <c r="B23" s="7" t="s">
        <v>49</v>
      </c>
      <c r="C23" s="5">
        <v>4</v>
      </c>
      <c r="D23" s="12"/>
    </row>
    <row r="24" spans="1:5" x14ac:dyDescent="0.3">
      <c r="A24" s="5">
        <v>4</v>
      </c>
      <c r="B24" s="7" t="s">
        <v>43</v>
      </c>
      <c r="C24" s="5">
        <v>4</v>
      </c>
      <c r="D24" s="21"/>
      <c r="E24" s="18" t="s">
        <v>61</v>
      </c>
    </row>
    <row r="25" spans="1:5" s="3" customFormat="1" x14ac:dyDescent="0.3">
      <c r="A25" s="3">
        <f>SUM(A26:A30)</f>
        <v>20</v>
      </c>
      <c r="B25" s="1" t="s">
        <v>14</v>
      </c>
      <c r="C25" s="3">
        <f>SUM(C26:C30)</f>
        <v>20</v>
      </c>
    </row>
    <row r="26" spans="1:5" x14ac:dyDescent="0.3">
      <c r="A26" s="5">
        <v>4</v>
      </c>
      <c r="B26" s="11" t="s">
        <v>50</v>
      </c>
      <c r="C26" s="5">
        <v>4</v>
      </c>
      <c r="D26" s="12"/>
    </row>
    <row r="27" spans="1:5" x14ac:dyDescent="0.3">
      <c r="A27" s="5">
        <v>4</v>
      </c>
      <c r="B27" s="9" t="s">
        <v>53</v>
      </c>
      <c r="C27" s="5">
        <v>4</v>
      </c>
      <c r="D27" s="12"/>
    </row>
    <row r="28" spans="1:5" x14ac:dyDescent="0.3">
      <c r="A28" s="5">
        <v>4</v>
      </c>
      <c r="B28" s="9" t="s">
        <v>51</v>
      </c>
      <c r="C28" s="5">
        <v>4</v>
      </c>
      <c r="D28" s="17"/>
      <c r="E28" s="19" t="s">
        <v>56</v>
      </c>
    </row>
    <row r="29" spans="1:5" x14ac:dyDescent="0.3">
      <c r="A29" s="5">
        <v>4</v>
      </c>
      <c r="B29" s="7" t="s">
        <v>52</v>
      </c>
      <c r="C29" s="5">
        <v>4</v>
      </c>
      <c r="D29" s="15"/>
      <c r="E29" s="18" t="s">
        <v>56</v>
      </c>
    </row>
    <row r="30" spans="1:5" x14ac:dyDescent="0.3">
      <c r="A30" s="5">
        <v>4</v>
      </c>
      <c r="B30" s="7" t="s">
        <v>44</v>
      </c>
      <c r="C30" s="5">
        <v>4</v>
      </c>
      <c r="D30" s="12"/>
    </row>
    <row r="31" spans="1:5" s="3" customFormat="1" x14ac:dyDescent="0.3">
      <c r="A31" s="3">
        <f>SUM(A32:A36)</f>
        <v>10</v>
      </c>
      <c r="B31" s="1" t="s">
        <v>5</v>
      </c>
      <c r="C31" s="3">
        <f>SUM(C32:C36)</f>
        <v>10</v>
      </c>
    </row>
    <row r="32" spans="1:5" x14ac:dyDescent="0.3">
      <c r="A32" s="5">
        <v>2</v>
      </c>
      <c r="B32" s="8" t="s">
        <v>6</v>
      </c>
      <c r="C32" s="5">
        <v>2</v>
      </c>
      <c r="D32" s="20"/>
    </row>
    <row r="33" spans="1:5" x14ac:dyDescent="0.3">
      <c r="A33" s="5">
        <v>2</v>
      </c>
      <c r="B33" s="8" t="s">
        <v>23</v>
      </c>
      <c r="C33" s="5">
        <v>2</v>
      </c>
      <c r="D33" s="12"/>
    </row>
    <row r="34" spans="1:5" x14ac:dyDescent="0.3">
      <c r="A34" s="5">
        <v>2</v>
      </c>
      <c r="B34" s="8" t="s">
        <v>26</v>
      </c>
      <c r="C34" s="5">
        <v>2</v>
      </c>
      <c r="D34" s="16"/>
    </row>
    <row r="35" spans="1:5" x14ac:dyDescent="0.3">
      <c r="A35" s="5">
        <v>2</v>
      </c>
      <c r="B35" s="8" t="s">
        <v>7</v>
      </c>
      <c r="C35" s="5">
        <v>2</v>
      </c>
      <c r="D35" s="12"/>
    </row>
    <row r="36" spans="1:5" x14ac:dyDescent="0.3">
      <c r="A36" s="5">
        <v>2</v>
      </c>
      <c r="B36" s="8" t="s">
        <v>17</v>
      </c>
      <c r="C36" s="5">
        <v>2</v>
      </c>
      <c r="D36" s="16"/>
    </row>
    <row r="37" spans="1:5" s="3" customFormat="1" x14ac:dyDescent="0.3">
      <c r="B37" s="1" t="s">
        <v>8</v>
      </c>
      <c r="C37" s="3">
        <f>SUM(C38:C42)</f>
        <v>0</v>
      </c>
    </row>
    <row r="38" spans="1:5" x14ac:dyDescent="0.3">
      <c r="B38" s="7" t="s">
        <v>41</v>
      </c>
      <c r="D38" s="15"/>
      <c r="E38" s="18" t="s">
        <v>58</v>
      </c>
    </row>
    <row r="39" spans="1:5" x14ac:dyDescent="0.3">
      <c r="B39" s="7" t="s">
        <v>40</v>
      </c>
      <c r="D39" s="15"/>
      <c r="E39" s="18" t="s">
        <v>60</v>
      </c>
    </row>
    <row r="40" spans="1:5" x14ac:dyDescent="0.3">
      <c r="B40" s="7" t="s">
        <v>47</v>
      </c>
      <c r="D40" s="16"/>
    </row>
    <row r="41" spans="1:5" x14ac:dyDescent="0.3">
      <c r="B41" s="7" t="s">
        <v>19</v>
      </c>
      <c r="D41" s="16"/>
    </row>
    <row r="42" spans="1:5" x14ac:dyDescent="0.3">
      <c r="B42" s="7" t="s">
        <v>10</v>
      </c>
      <c r="D42" s="16"/>
    </row>
    <row r="43" spans="1:5" s="3" customFormat="1" x14ac:dyDescent="0.3">
      <c r="B43" s="1" t="s">
        <v>9</v>
      </c>
      <c r="C43" s="3">
        <f>SUM(C44:C48)</f>
        <v>0</v>
      </c>
    </row>
    <row r="44" spans="1:5" x14ac:dyDescent="0.3">
      <c r="B44" s="2" t="s">
        <v>1</v>
      </c>
      <c r="D44" s="12"/>
    </row>
    <row r="45" spans="1:5" x14ac:dyDescent="0.3">
      <c r="B45" s="2" t="s">
        <v>13</v>
      </c>
    </row>
    <row r="46" spans="1:5" x14ac:dyDescent="0.3">
      <c r="B46" s="2" t="s">
        <v>18</v>
      </c>
      <c r="D46" s="15"/>
      <c r="E46" s="5" t="s">
        <v>55</v>
      </c>
    </row>
    <row r="47" spans="1:5" x14ac:dyDescent="0.3">
      <c r="B47" s="2" t="s">
        <v>11</v>
      </c>
      <c r="D47" s="15"/>
    </row>
    <row r="48" spans="1:5" x14ac:dyDescent="0.3">
      <c r="B48" s="2" t="s">
        <v>12</v>
      </c>
      <c r="D48" s="15"/>
      <c r="E48" s="18" t="s">
        <v>59</v>
      </c>
    </row>
    <row r="49" spans="2:2" s="3" customFormat="1" x14ac:dyDescent="0.3">
      <c r="B49" s="1" t="s">
        <v>22</v>
      </c>
    </row>
    <row r="50" spans="2:2" x14ac:dyDescent="0.3">
      <c r="B50" s="2" t="s">
        <v>21</v>
      </c>
    </row>
    <row r="51" spans="2:2" x14ac:dyDescent="0.3">
      <c r="B51" s="2" t="s">
        <v>20</v>
      </c>
    </row>
    <row r="52" spans="2:2" x14ac:dyDescent="0.3">
      <c r="B52" s="2" t="s">
        <v>27</v>
      </c>
    </row>
    <row r="53" spans="2:2" x14ac:dyDescent="0.3">
      <c r="B53" s="2" t="s">
        <v>28</v>
      </c>
    </row>
    <row r="54" spans="2:2" x14ac:dyDescent="0.3">
      <c r="B54" s="2" t="s">
        <v>45</v>
      </c>
    </row>
  </sheetData>
  <phoneticPr fontId="4" type="noConversion"/>
  <pageMargins left="0.75" right="0.75" top="1" bottom="1" header="0.5" footer="0.5"/>
  <pageSetup paperSize="9" scale="79" fitToHeight="2" orientation="portrait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2019-2020</vt:lpstr>
      <vt:lpstr>'2019-2020'!Área_de_Impressão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Alcides Fonseca</dc:creator>
  <cp:lastModifiedBy>Miguel</cp:lastModifiedBy>
  <cp:lastPrinted>2016-09-26T11:13:55Z</cp:lastPrinted>
  <dcterms:created xsi:type="dcterms:W3CDTF">2012-10-17T10:28:10Z</dcterms:created>
  <dcterms:modified xsi:type="dcterms:W3CDTF">2019-10-28T15:52:28Z</dcterms:modified>
</cp:coreProperties>
</file>